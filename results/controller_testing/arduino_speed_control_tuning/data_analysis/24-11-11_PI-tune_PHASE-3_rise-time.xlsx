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l my files\documents\uvm\5_masters\hive\github_directory\results\controller_testing\arduino_speed_control_tuning\data_analysis\"/>
    </mc:Choice>
  </mc:AlternateContent>
  <xr:revisionPtr revIDLastSave="0" documentId="13_ncr:1_{CB22CCFA-FD15-429C-AD6D-6F8A5E698E6C}" xr6:coauthVersionLast="47" xr6:coauthVersionMax="47" xr10:uidLastSave="{00000000-0000-0000-0000-000000000000}"/>
  <bookViews>
    <workbookView xWindow="-120" yWindow="-120" windowWidth="29040" windowHeight="15840" xr2:uid="{3F7FF322-C9C0-4845-BE55-C4EA7CA84D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3" i="1"/>
  <c r="D4" i="1"/>
  <c r="D5" i="1"/>
  <c r="D6" i="1"/>
  <c r="D7" i="1"/>
  <c r="D8" i="1"/>
  <c r="D9" i="1"/>
  <c r="D3" i="1"/>
</calcChain>
</file>

<file path=xl/sharedStrings.xml><?xml version="1.0" encoding="utf-8"?>
<sst xmlns="http://schemas.openxmlformats.org/spreadsheetml/2006/main" count="7" uniqueCount="7">
  <si>
    <t>Phase 3 prop detune</t>
  </si>
  <si>
    <t>KP</t>
  </si>
  <si>
    <t>T_10</t>
  </si>
  <si>
    <t>T_90</t>
  </si>
  <si>
    <t>T_rise</t>
  </si>
  <si>
    <t>overshoot (down step)</t>
  </si>
  <si>
    <t>% overshoot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</si>
</sst>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Phase 3 Proportional</a:t>
            </a:r>
            <a:r>
              <a:rPr lang="en-US" baseline="0"/>
              <a:t> Detune, </a:t>
            </a:r>
          </a:p>
          <a:p>
            <a:pPr>
              <a:defRPr/>
            </a:pPr>
            <a:r>
              <a:rPr lang="en-US" baseline="0"/>
              <a:t>Large Up-Step </a:t>
            </a:r>
            <a:r>
              <a:rPr lang="en-US"/>
              <a:t>Rise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T_rise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8</c:v>
                </c:pt>
              </c:numCache>
            </c:numRef>
          </c:xVal>
          <c:yVal>
            <c:numRef>
              <c:f>Sheet1!$D$3:$D$9</c:f>
              <c:numCache>
                <c:formatCode>General</c:formatCode>
                <c:ptCount val="7"/>
                <c:pt idx="0">
                  <c:v>0.12999999999999901</c:v>
                </c:pt>
                <c:pt idx="1">
                  <c:v>0.12999999999999901</c:v>
                </c:pt>
                <c:pt idx="2">
                  <c:v>0.11999999999999922</c:v>
                </c:pt>
                <c:pt idx="3">
                  <c:v>0.13000000000000078</c:v>
                </c:pt>
                <c:pt idx="4">
                  <c:v>0.11999999999999922</c:v>
                </c:pt>
                <c:pt idx="5">
                  <c:v>0.10000000000000142</c:v>
                </c:pt>
                <c:pt idx="6">
                  <c:v>0.10000000000000142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41-457D-B232-A66364A64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9745880"/>
        <c:axId val="819747680"/>
      </c:scatterChart>
      <c:valAx>
        <c:axId val="819745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747680"/>
        <c:crosses val="autoZero"/>
        <c:crossBetween val="midCat"/>
      </c:valAx>
      <c:valAx>
        <c:axId val="819747680"/>
        <c:scaling>
          <c:orientation val="minMax"/>
          <c:min val="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Rise</a:t>
                </a:r>
                <a:r>
                  <a:rPr lang="en-US" baseline="0"/>
                  <a:t> 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745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Phase 3 Proportional</a:t>
            </a:r>
            <a:r>
              <a:rPr lang="en-US" baseline="0"/>
              <a:t> Detune, </a:t>
            </a:r>
          </a:p>
          <a:p>
            <a:pPr>
              <a:defRPr/>
            </a:pPr>
            <a:r>
              <a:rPr lang="en-US" baseline="0"/>
              <a:t>Large Down-Step Overshoot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% overshoot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8</c:v>
                </c:pt>
              </c:numCache>
            </c:numRef>
          </c:xVal>
          <c:yVal>
            <c:numRef>
              <c:f>Sheet1!$F$3:$F$9</c:f>
              <c:numCache>
                <c:formatCode>General</c:formatCode>
                <c:ptCount val="7"/>
                <c:pt idx="0">
                  <c:v>3.2799999999999994</c:v>
                </c:pt>
                <c:pt idx="1">
                  <c:v>2.4</c:v>
                </c:pt>
                <c:pt idx="2">
                  <c:v>17.8</c:v>
                </c:pt>
                <c:pt idx="3">
                  <c:v>10.92</c:v>
                </c:pt>
                <c:pt idx="4">
                  <c:v>52.16</c:v>
                </c:pt>
                <c:pt idx="5">
                  <c:v>51.359999999999992</c:v>
                </c:pt>
                <c:pt idx="6">
                  <c:v>42.8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07-4BA1-B6CF-B28EA1367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24192"/>
        <c:axId val="63124552"/>
      </c:scatterChart>
      <c:valAx>
        <c:axId val="6312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4552"/>
        <c:crosses val="autoZero"/>
        <c:crossBetween val="midCat"/>
      </c:valAx>
      <c:valAx>
        <c:axId val="63124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Overshoot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4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476250</xdr:colOff>
      <xdr:row>1</xdr:row>
      <xdr:rowOff>119062</xdr:rowOff>
    </xdr:from>
    <xdr:to>
      <xdr:col>14</xdr:col>
      <xdr:colOff>171450</xdr:colOff>
      <xdr:row>16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3D0896-A53F-26EA-F977-FD69B234CB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228600</xdr:colOff>
      <xdr:row>1</xdr:row>
      <xdr:rowOff>85725</xdr:rowOff>
    </xdr:from>
    <xdr:to>
      <xdr:col>21</xdr:col>
      <xdr:colOff>533400</xdr:colOff>
      <xdr:row>15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100DBF-6B4C-B31B-0BF6-280C99695F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1C7B6-C37D-429D-B26C-81DF3F3A40E9}">
  <dimension ref="A1:F9"/>
  <sheetViews>
    <sheetView tabSelected="1" workbookViewId="0">
      <selection activeCell="W19" sqref="W19"/>
    </sheetView>
  </sheetViews>
  <sheetFormatPr defaultRowHeight="15" x14ac:dyDescent="0.25"/>
  <cols>
    <col min="2" max="5" width="9.140625" customWidth="1"/>
  </cols>
  <sheetData>
    <row r="1" spans="1:6" x14ac:dyDescent="0.25">
      <c r="A1" t="s">
        <v>0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25">
      <c r="A3">
        <v>0.5</v>
      </c>
      <c r="B3">
        <v>15.05</v>
      </c>
      <c r="C3">
        <v>15.18</v>
      </c>
      <c r="D3">
        <f>C3-B3</f>
        <v>0.12999999999999901</v>
      </c>
      <c r="E3">
        <v>-0.82</v>
      </c>
      <c r="F3">
        <f>-E3/25*100</f>
        <v>3.2799999999999994</v>
      </c>
    </row>
    <row r="4" spans="1:6" x14ac:dyDescent="0.25">
      <c r="A4">
        <v>1</v>
      </c>
      <c r="B4">
        <v>15.05</v>
      </c>
      <c r="C4">
        <v>15.18</v>
      </c>
      <c r="D4">
        <f t="shared" ref="D4:D9" si="0">C4-B4</f>
        <v>0.12999999999999901</v>
      </c>
      <c r="E4">
        <v>-0.6</v>
      </c>
      <c r="F4">
        <f t="shared" ref="F4:F9" si="1">-E4/25*100</f>
        <v>2.4</v>
      </c>
    </row>
    <row r="5" spans="1:6" x14ac:dyDescent="0.25">
      <c r="A5">
        <v>2</v>
      </c>
      <c r="B5">
        <v>15.05</v>
      </c>
      <c r="C5">
        <v>15.17</v>
      </c>
      <c r="D5">
        <f t="shared" si="0"/>
        <v>0.11999999999999922</v>
      </c>
      <c r="E5">
        <v>-4.45</v>
      </c>
      <c r="F5">
        <f t="shared" si="1"/>
        <v>17.8</v>
      </c>
    </row>
    <row r="6" spans="1:6" x14ac:dyDescent="0.25">
      <c r="A6">
        <v>3</v>
      </c>
      <c r="B6">
        <v>15.04</v>
      </c>
      <c r="C6">
        <v>15.17</v>
      </c>
      <c r="D6">
        <f t="shared" si="0"/>
        <v>0.13000000000000078</v>
      </c>
      <c r="E6">
        <v>-2.73</v>
      </c>
      <c r="F6">
        <f t="shared" si="1"/>
        <v>10.92</v>
      </c>
    </row>
    <row r="7" spans="1:6" x14ac:dyDescent="0.25">
      <c r="A7">
        <v>4</v>
      </c>
      <c r="B7">
        <v>15.05</v>
      </c>
      <c r="C7">
        <v>15.17</v>
      </c>
      <c r="D7">
        <f t="shared" si="0"/>
        <v>0.11999999999999922</v>
      </c>
      <c r="E7">
        <v>-13.04</v>
      </c>
      <c r="F7">
        <f t="shared" si="1"/>
        <v>52.16</v>
      </c>
    </row>
    <row r="8" spans="1:6" x14ac:dyDescent="0.25">
      <c r="A8">
        <v>5</v>
      </c>
      <c r="B8">
        <v>15.04</v>
      </c>
      <c r="C8">
        <v>15.14</v>
      </c>
      <c r="D8">
        <f t="shared" si="0"/>
        <v>0.10000000000000142</v>
      </c>
      <c r="E8">
        <v>-12.84</v>
      </c>
      <c r="F8">
        <f t="shared" si="1"/>
        <v>51.359999999999992</v>
      </c>
    </row>
    <row r="9" spans="1:6" x14ac:dyDescent="0.25">
      <c r="A9">
        <v>8</v>
      </c>
      <c r="B9">
        <v>15.04</v>
      </c>
      <c r="C9">
        <v>15.14</v>
      </c>
      <c r="D9">
        <f t="shared" si="0"/>
        <v>0.10000000000000142</v>
      </c>
      <c r="E9">
        <v>-10.7</v>
      </c>
      <c r="F9">
        <f t="shared" si="1"/>
        <v>42.8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Gamble</dc:creator>
  <cp:lastModifiedBy>Brandon Gamble</cp:lastModifiedBy>
  <dcterms:created xsi:type="dcterms:W3CDTF">2025-01-17T12:03:56Z</dcterms:created>
  <dcterms:modified xsi:type="dcterms:W3CDTF">2025-01-17T12:23:25Z</dcterms:modified>
</cp:coreProperties>
</file>